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duc-census" sheetId="1" state="visible" r:id="rId3"/>
    <sheet name="inc-census" sheetId="2" state="visible" r:id="rId4"/>
    <sheet name="age-census" sheetId="3" state="visible" r:id="rId5"/>
    <sheet name="race-census" sheetId="4" state="visible" r:id="rId6"/>
    <sheet name="white-censu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<sst xmlns="http://schemas.openxmlformats.org/spreadsheetml/2006/main" count="52" uniqueCount="40">
  <si>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t xml:space="preserve">category</t>
  </si>
  <si>
    <t xml:space="preserve">code</t>
  </si>
  <si>
    <t xml:space="preserve">freq</t>
  </si>
  <si>
    <t xml:space="preserve">Less than high school graduate</t>
  </si>
  <si>
    <t xml:space="preserve">Complete high school (or equivalent, including GED)</t>
  </si>
  <si>
    <t xml:space="preserve">Some college or associates degree</t>
  </si>
  <si>
    <t xml:space="preserve">Bachelors degree</t>
  </si>
  <si>
    <t xml:space="preserve">Graduate or professional degree</t>
  </si>
  <si>
    <t xml:space="preserve">Less than $10,000</t>
  </si>
  <si>
    <t xml:space="preserve">$10,000 to $14,999</t>
  </si>
  <si>
    <t xml:space="preserve">$15,000 to $24,999</t>
  </si>
  <si>
    <t xml:space="preserve">$25,000 to $34,999</t>
  </si>
  <si>
    <t xml:space="preserve">$35,000 to $49,999</t>
  </si>
  <si>
    <t xml:space="preserve">$50,000 to $74,999</t>
  </si>
  <si>
    <t xml:space="preserve">$75,000 to $99,999</t>
  </si>
  <si>
    <t xml:space="preserve">$100,000 to $149,999</t>
  </si>
  <si>
    <t xml:space="preserve">$150,000 to $199,999</t>
  </si>
  <si>
    <t xml:space="preserve">$200,000 or more</t>
  </si>
  <si>
    <t xml:space="preserve">18 to 24 years</t>
  </si>
  <si>
    <t xml:space="preserve">25 to 29 years</t>
  </si>
  <si>
    <t xml:space="preserve">30 to 34 years</t>
  </si>
  <si>
    <t xml:space="preserve">35 to 39 years</t>
  </si>
  <si>
    <t xml:space="preserve">40 to 44 years</t>
  </si>
  <si>
    <t xml:space="preserve">45 to 49 years</t>
  </si>
  <si>
    <t xml:space="preserve">50 to 54 years</t>
  </si>
  <si>
    <t xml:space="preserve">55 to 59 years</t>
  </si>
  <si>
    <t xml:space="preserve">60 to 64 years</t>
  </si>
  <si>
    <t xml:space="preserve">65 to 69 years</t>
  </si>
  <si>
    <t xml:space="preserve">70 to 74 years</t>
  </si>
  <si>
    <t xml:space="preserve">75 to 79 years</t>
  </si>
  <si>
    <t xml:space="preserve">80 to 84 years</t>
  </si>
  <si>
    <t xml:space="preserve">85 years and over</t>
  </si>
  <si>
    <t xml:space="preserve">White alone</t>
  </si>
  <si>
    <t xml:space="preserve">Black or African American alone</t>
  </si>
  <si>
    <t xml:space="preserve">American Indian and Alaska Native alone</t>
  </si>
  <si>
    <t xml:space="preserve">Asian alone</t>
  </si>
  <si>
    <t xml:space="preserve">Native Hawaiian and Other Pacific Islander alone</t>
  </si>
  <si>
    <t xml:space="preserve">Some Other Race alone</t>
  </si>
  <si>
    <t xml:space="preserve">White</t>
  </si>
  <si>
    <t xml:space="preserve">Non-white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</si>
</sst>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15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1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15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4.64"/>
    <col collapsed="false" customWidth="false" hidden="false" outlineLevel="0" max="3" min="3" style="2" width="11.52"/>
  </cols>
  <sheetData>
    <row r="1" s="5" customFormat="true" ht="14.9" hidden="false" customHeight="false" outlineLevel="0" collapsed="false">
      <c r="A1" s="3" t="s">
        <v>0</v>
      </c>
      <c r="B1" s="3" t="s">
        <v>1</v>
      </c>
      <c r="C1" s="4" t="s">
        <v>2</v>
      </c>
    </row>
    <row r="2" customFormat="false" ht="13.8" hidden="false" customHeight="false" outlineLevel="0" collapsed="false">
      <c r="A2" s="6" t="s">
        <v>3</v>
      </c>
      <c r="B2" s="1" t="n">
        <v>1</v>
      </c>
      <c r="C2" s="2" t="n">
        <f aca="false">9.76883840106617/100</f>
        <v>0.0976883840106617</v>
      </c>
      <c r="D2" s="1"/>
    </row>
    <row r="3" customFormat="false" ht="13.8" hidden="false" customHeight="false" outlineLevel="0" collapsed="false">
      <c r="A3" s="6" t="s">
        <v>4</v>
      </c>
      <c r="B3" s="1" t="n">
        <v>2</v>
      </c>
      <c r="C3" s="2" t="n">
        <f aca="false">27.8433114652663/100</f>
        <v>0.278433114652663</v>
      </c>
    </row>
    <row r="4" customFormat="false" ht="13.8" hidden="false" customHeight="false" outlineLevel="0" collapsed="false">
      <c r="A4" s="6" t="s">
        <v>5</v>
      </c>
      <c r="B4" s="1" t="n">
        <v>3</v>
      </c>
      <c r="C4" s="2" t="n">
        <f aca="false">27.5950150326434/100</f>
        <v>0.275950150326434</v>
      </c>
    </row>
    <row r="5" customFormat="false" ht="13.8" hidden="false" customHeight="false" outlineLevel="0" collapsed="false">
      <c r="A5" s="6" t="s">
        <v>6</v>
      </c>
      <c r="B5" s="1" t="n">
        <v>4</v>
      </c>
      <c r="C5" s="2" t="n">
        <f aca="false">22.1289237579229/100</f>
        <v>0.221289237579229</v>
      </c>
    </row>
    <row r="6" customFormat="false" ht="13.8" hidden="false" customHeight="false" outlineLevel="0" collapsed="false">
      <c r="A6" s="6" t="s">
        <v>7</v>
      </c>
      <c r="B6" s="1" t="n">
        <v>5</v>
      </c>
      <c r="C6" s="2" t="n">
        <f aca="false">12.6631180637638/100</f>
        <v>0.126631180637638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7.23"/>
    <col collapsed="false" customWidth="false" hidden="false" outlineLevel="0" max="3" min="3" style="2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7" t="s">
        <v>2</v>
      </c>
    </row>
    <row r="2" customFormat="false" ht="14.9" hidden="false" customHeight="false" outlineLevel="0" collapsed="false">
      <c r="A2" s="8" t="s">
        <v>8</v>
      </c>
      <c r="B2" s="1" t="n">
        <v>1</v>
      </c>
      <c r="C2" s="2" t="n">
        <f aca="false">5.8/100</f>
        <v>0.058</v>
      </c>
    </row>
    <row r="3" customFormat="false" ht="14.9" hidden="false" customHeight="false" outlineLevel="0" collapsed="false">
      <c r="A3" s="8" t="s">
        <v>9</v>
      </c>
      <c r="B3" s="1" t="n">
        <v>2</v>
      </c>
      <c r="C3" s="2" t="n">
        <f aca="false">4/100</f>
        <v>0.04</v>
      </c>
    </row>
    <row r="4" customFormat="false" ht="14.9" hidden="false" customHeight="false" outlineLevel="0" collapsed="false">
      <c r="A4" s="8" t="s">
        <v>10</v>
      </c>
      <c r="B4" s="1" t="n">
        <v>3</v>
      </c>
      <c r="C4" s="2" t="n">
        <f aca="false">8.3/100</f>
        <v>0.083</v>
      </c>
    </row>
    <row r="5" customFormat="false" ht="14.9" hidden="false" customHeight="false" outlineLevel="0" collapsed="false">
      <c r="A5" s="8" t="s">
        <v>11</v>
      </c>
      <c r="B5" s="1" t="n">
        <v>4</v>
      </c>
      <c r="C5" s="2" t="n">
        <f aca="false">8.4/100</f>
        <v>0.084</v>
      </c>
    </row>
    <row r="6" customFormat="false" ht="14.9" hidden="false" customHeight="false" outlineLevel="0" collapsed="false">
      <c r="A6" s="8" t="s">
        <v>12</v>
      </c>
      <c r="B6" s="1" t="n">
        <v>5</v>
      </c>
      <c r="C6" s="2" t="n">
        <f aca="false">11.9/100</f>
        <v>0.119</v>
      </c>
    </row>
    <row r="7" customFormat="false" ht="14.9" hidden="false" customHeight="false" outlineLevel="0" collapsed="false">
      <c r="A7" s="8" t="s">
        <v>13</v>
      </c>
      <c r="B7" s="1" t="n">
        <v>6</v>
      </c>
      <c r="C7" s="2" t="n">
        <f aca="false">17.4/100</f>
        <v>0.174</v>
      </c>
    </row>
    <row r="8" customFormat="false" ht="14.9" hidden="false" customHeight="false" outlineLevel="0" collapsed="false">
      <c r="A8" s="8" t="s">
        <v>14</v>
      </c>
      <c r="B8" s="1" t="n">
        <v>7</v>
      </c>
      <c r="C8" s="2" t="n">
        <f aca="false">12.8/100</f>
        <v>0.128</v>
      </c>
    </row>
    <row r="9" customFormat="false" ht="14.9" hidden="false" customHeight="false" outlineLevel="0" collapsed="false">
      <c r="A9" s="8" t="s">
        <v>15</v>
      </c>
      <c r="B9" s="1" t="n">
        <v>8</v>
      </c>
      <c r="C9" s="2" t="n">
        <f aca="false">15.7/100</f>
        <v>0.157</v>
      </c>
    </row>
    <row r="10" s="5" customFormat="true" ht="14.9" hidden="false" customHeight="false" outlineLevel="0" collapsed="false">
      <c r="A10" s="8" t="s">
        <v>16</v>
      </c>
      <c r="B10" s="1" t="n">
        <v>9</v>
      </c>
      <c r="C10" s="2" t="n">
        <f aca="false">7.2/100</f>
        <v>0.072</v>
      </c>
      <c r="D10" s="1"/>
      <c r="E10" s="1"/>
      <c r="F10" s="1"/>
      <c r="G10" s="1"/>
      <c r="H10" s="1"/>
    </row>
    <row r="11" customFormat="false" ht="14.9" hidden="false" customHeight="false" outlineLevel="0" collapsed="false">
      <c r="A11" s="8" t="s">
        <v>17</v>
      </c>
      <c r="B11" s="1" t="n">
        <v>10</v>
      </c>
      <c r="C11" s="9" t="n">
        <f aca="false">8.5/100</f>
        <v>0.085</v>
      </c>
      <c r="D11" s="5"/>
      <c r="E11" s="5"/>
      <c r="F11" s="5"/>
      <c r="G11" s="5"/>
      <c r="H1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3.61"/>
    <col collapsed="false" customWidth="true" hidden="false" outlineLevel="0" max="4" min="4" style="1" width="12.69"/>
  </cols>
  <sheetData>
    <row r="1" s="10" customFormat="true" ht="14.9" hidden="false" customHeight="false" outlineLevel="0" collapsed="false">
      <c r="A1" s="3" t="s">
        <v>0</v>
      </c>
      <c r="B1" s="3" t="s">
        <v>1</v>
      </c>
      <c r="C1" s="4" t="s">
        <v>2</v>
      </c>
      <c r="D1" s="1"/>
      <c r="E1" s="1"/>
      <c r="F1" s="1"/>
      <c r="G1" s="1"/>
    </row>
    <row r="2" customFormat="false" ht="14.9" hidden="false" customHeight="false" outlineLevel="0" collapsed="false">
      <c r="A2" s="11" t="s">
        <v>18</v>
      </c>
      <c r="B2" s="1" t="n">
        <v>1</v>
      </c>
      <c r="C2" s="2" t="n">
        <v>0.118983676916087</v>
      </c>
    </row>
    <row r="3" customFormat="false" ht="14.9" hidden="false" customHeight="false" outlineLevel="0" collapsed="false">
      <c r="A3" s="11" t="s">
        <v>19</v>
      </c>
      <c r="B3" s="1" t="n">
        <v>2</v>
      </c>
      <c r="C3" s="12" t="n">
        <v>0.0910139883953781</v>
      </c>
    </row>
    <row r="4" customFormat="false" ht="14.9" hidden="false" customHeight="false" outlineLevel="0" collapsed="false">
      <c r="A4" s="11" t="s">
        <v>20</v>
      </c>
      <c r="B4" s="1" t="n">
        <v>3</v>
      </c>
      <c r="C4" s="12" t="n">
        <v>0.0875348605962796</v>
      </c>
    </row>
    <row r="5" customFormat="false" ht="14.9" hidden="false" customHeight="false" outlineLevel="0" collapsed="false">
      <c r="A5" s="11" t="s">
        <v>21</v>
      </c>
      <c r="B5" s="1" t="n">
        <v>4</v>
      </c>
      <c r="C5" s="12" t="n">
        <v>0.0851181535811066</v>
      </c>
    </row>
    <row r="6" customFormat="false" ht="14.9" hidden="false" customHeight="false" outlineLevel="0" collapsed="false">
      <c r="A6" s="11" t="s">
        <v>22</v>
      </c>
      <c r="B6" s="1" t="n">
        <v>5</v>
      </c>
      <c r="C6" s="12" t="n">
        <v>0.0790788128688183</v>
      </c>
    </row>
    <row r="7" customFormat="false" ht="14.9" hidden="false" customHeight="false" outlineLevel="0" collapsed="false">
      <c r="A7" s="11" t="s">
        <v>23</v>
      </c>
      <c r="B7" s="1" t="n">
        <v>6</v>
      </c>
      <c r="C7" s="12" t="n">
        <v>0.0799078901558621</v>
      </c>
    </row>
    <row r="8" customFormat="false" ht="14.9" hidden="false" customHeight="false" outlineLevel="0" collapsed="false">
      <c r="A8" s="11" t="s">
        <v>24</v>
      </c>
      <c r="B8" s="1" t="n">
        <v>7</v>
      </c>
      <c r="C8" s="12" t="n">
        <v>0.0801690040595093</v>
      </c>
    </row>
    <row r="9" customFormat="false" ht="14.9" hidden="false" customHeight="false" outlineLevel="0" collapsed="false">
      <c r="A9" s="11" t="s">
        <v>25</v>
      </c>
      <c r="B9" s="1" t="n">
        <v>8</v>
      </c>
      <c r="C9" s="12" t="n">
        <v>0.084161529859604</v>
      </c>
    </row>
    <row r="10" customFormat="false" ht="14.9" hidden="false" customHeight="false" outlineLevel="0" collapsed="false">
      <c r="A10" s="11" t="s">
        <v>26</v>
      </c>
      <c r="B10" s="1" t="n">
        <v>9</v>
      </c>
      <c r="C10" s="12" t="n">
        <v>0.0822028053885072</v>
      </c>
    </row>
    <row r="11" customFormat="false" ht="14.9" hidden="false" customHeight="false" outlineLevel="0" collapsed="false">
      <c r="A11" s="11" t="s">
        <v>27</v>
      </c>
      <c r="B11" s="1" t="n">
        <v>10</v>
      </c>
      <c r="C11" s="12" t="n">
        <v>0.0682684778837523</v>
      </c>
    </row>
    <row r="12" customFormat="false" ht="14.9" hidden="false" customHeight="false" outlineLevel="0" collapsed="false">
      <c r="A12" s="11" t="s">
        <v>28</v>
      </c>
      <c r="B12" s="1" t="n">
        <v>11</v>
      </c>
      <c r="C12" s="12" t="n">
        <v>0.055425438440036</v>
      </c>
    </row>
    <row r="13" customFormat="false" ht="14.9" hidden="false" customHeight="false" outlineLevel="0" collapsed="false">
      <c r="A13" s="11" t="s">
        <v>29</v>
      </c>
      <c r="B13" s="1" t="n">
        <v>12</v>
      </c>
      <c r="C13" s="12" t="n">
        <v>0.0382328418980718</v>
      </c>
    </row>
    <row r="14" customFormat="false" ht="14.9" hidden="false" customHeight="false" outlineLevel="0" collapsed="false">
      <c r="A14" s="11" t="s">
        <v>30</v>
      </c>
      <c r="B14" s="1" t="n">
        <v>13</v>
      </c>
      <c r="C14" s="12" t="n">
        <v>0.0249948311943565</v>
      </c>
    </row>
    <row r="15" customFormat="false" ht="14.9" hidden="false" customHeight="false" outlineLevel="0" collapsed="false">
      <c r="A15" s="11" t="s">
        <v>31</v>
      </c>
      <c r="B15" s="1" t="n">
        <v>14</v>
      </c>
      <c r="C15" s="12" t="n">
        <v>0.0249076887626315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9.45"/>
    <col collapsed="false" customWidth="false" hidden="false" outlineLevel="0" max="3" min="3" style="2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7" t="s">
        <v>2</v>
      </c>
    </row>
    <row r="2" customFormat="false" ht="14.9" hidden="false" customHeight="false" outlineLevel="0" collapsed="false">
      <c r="A2" s="11" t="s">
        <v>32</v>
      </c>
      <c r="B2" s="1" t="n">
        <v>1</v>
      </c>
      <c r="C2" s="2" t="n">
        <f aca="false">67.3/100</f>
        <v>0.673</v>
      </c>
    </row>
    <row r="3" customFormat="false" ht="14.9" hidden="false" customHeight="false" outlineLevel="0" collapsed="false">
      <c r="A3" s="11" t="s">
        <v>33</v>
      </c>
      <c r="B3" s="1" t="n">
        <v>2</v>
      </c>
      <c r="C3" s="2" t="n">
        <f aca="false">16/100</f>
        <v>0.16</v>
      </c>
    </row>
    <row r="4" customFormat="false" ht="13.8" hidden="false" customHeight="false" outlineLevel="0" collapsed="false">
      <c r="A4" s="1" t="s">
        <v>34</v>
      </c>
      <c r="B4" s="1" t="n">
        <v>3</v>
      </c>
      <c r="C4" s="2" t="n">
        <f aca="false">1.1/100</f>
        <v>0.011</v>
      </c>
    </row>
    <row r="5" customFormat="false" ht="13.8" hidden="false" customHeight="false" outlineLevel="0" collapsed="false">
      <c r="A5" s="1" t="s">
        <v>35</v>
      </c>
      <c r="B5" s="1" t="n">
        <v>4</v>
      </c>
      <c r="C5" s="2" t="n">
        <f aca="false">6.70521139768796/100</f>
        <v>0.0670521139768796</v>
      </c>
    </row>
    <row r="6" customFormat="false" ht="13.8" hidden="false" customHeight="false" outlineLevel="0" collapsed="false">
      <c r="A6" s="1" t="s">
        <v>36</v>
      </c>
      <c r="B6" s="1" t="n">
        <v>5</v>
      </c>
      <c r="C6" s="2" t="n">
        <f aca="false">0.209104030170049/100</f>
        <v>0.00209104030170049</v>
      </c>
    </row>
    <row r="7" s="5" customFormat="true" ht="13.8" hidden="false" customHeight="false" outlineLevel="0" collapsed="false">
      <c r="A7" s="1" t="s">
        <v>37</v>
      </c>
      <c r="B7" s="1" t="n">
        <v>6</v>
      </c>
      <c r="C7" s="9" t="n">
        <f aca="false">8.69562812893512/100</f>
        <v>0.0869562812893512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3" t="s">
        <v>0</v>
      </c>
      <c r="B1" s="3" t="s">
        <v>1</v>
      </c>
      <c r="C1" s="7" t="s">
        <v>2</v>
      </c>
    </row>
    <row r="2" customFormat="false" ht="14.9" hidden="false" customHeight="false" outlineLevel="0" collapsed="false">
      <c r="A2" s="11" t="s">
        <v>38</v>
      </c>
      <c r="B2" s="1" t="n">
        <v>1</v>
      </c>
      <c r="C2" s="2" t="n">
        <f aca="false">67.3/100</f>
        <v>0.673</v>
      </c>
    </row>
    <row r="3" customFormat="false" ht="14.9" hidden="false" customHeight="false" outlineLevel="0" collapsed="false">
      <c r="A3" s="11" t="s">
        <v>39</v>
      </c>
      <c r="B3" s="1" t="n">
        <v>0</v>
      </c>
      <c r="C3" s="2" t="n">
        <f aca="false">1-C2</f>
        <v>0.327</v>
      </c>
      <c r="D3" s="2"/>
    </row>
    <row r="4" customFormat="false" ht="13.8" hidden="false" customHeight="false" outlineLevel="0" collapsed="false">
      <c r="A4" s="1"/>
      <c r="B4" s="1"/>
      <c r="C4" s="2"/>
    </row>
    <row r="5" customFormat="false" ht="13.8" hidden="false" customHeight="false" outlineLevel="0" collapsed="false">
      <c r="A5" s="1"/>
      <c r="B5" s="1"/>
      <c r="C5" s="2"/>
    </row>
    <row r="6" customFormat="false" ht="13.8" hidden="false" customHeight="false" outlineLevel="0" collapsed="false">
      <c r="A6" s="1"/>
      <c r="B6" s="1"/>
      <c r="C6" s="2"/>
    </row>
    <row r="7" customFormat="false" ht="13.8" hidden="false" customHeight="false" outlineLevel="0" collapsed="false">
      <c r="A7" s="1"/>
      <c r="B7" s="1"/>
      <c r="C7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2021-10-12T05:05:02Z</dcterms:created>
  <dc:creator>U.S. Census Bureau</dc:creator>
  <dc:description/>
  <dc:language>en-US</dc:language>
  <cp:lastModifiedBy/>
  <dcterms:modified xsi:type="dcterms:W3CDTF">2025-02-04T14:34:22Z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